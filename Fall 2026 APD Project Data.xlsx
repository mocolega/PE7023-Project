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nvar_Akhiiartdinov\Research\Grader_job\2019-2020\Final project\"/>
    </mc:Choice>
  </mc:AlternateContent>
  <bookViews>
    <workbookView xWindow="0" yWindow="0" windowWidth="17490" windowHeight="9255" tabRatio="417" activeTab="3"/>
  </bookViews>
  <sheets>
    <sheet name="Reservoir Data" sheetId="1" r:id="rId1"/>
    <sheet name="Schematic" sheetId="2" r:id="rId2"/>
    <sheet name="Geometry data" sheetId="3" r:id="rId3"/>
    <sheet name="Additional 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8" i="3" l="1"/>
</calcChain>
</file>

<file path=xl/sharedStrings.xml><?xml version="1.0" encoding="utf-8"?>
<sst xmlns="http://schemas.openxmlformats.org/spreadsheetml/2006/main" count="94" uniqueCount="59">
  <si>
    <t>w1 to m1</t>
  </si>
  <si>
    <t>w3 to m1</t>
  </si>
  <si>
    <t>w2 to m1</t>
  </si>
  <si>
    <t>x [ft]</t>
  </si>
  <si>
    <t>y [ft]</t>
  </si>
  <si>
    <t>w4 to m2</t>
  </si>
  <si>
    <t>w5 to m3</t>
  </si>
  <si>
    <t>w6 to m3</t>
  </si>
  <si>
    <t>w7 to m3</t>
  </si>
  <si>
    <t>m1 to m2</t>
  </si>
  <si>
    <t>m3 to m2</t>
  </si>
  <si>
    <t>w1</t>
  </si>
  <si>
    <t>MD [ft]</t>
  </si>
  <si>
    <t>TVD [ft]</t>
  </si>
  <si>
    <t>w2</t>
  </si>
  <si>
    <t>w3</t>
  </si>
  <si>
    <t>w4</t>
  </si>
  <si>
    <t>w5</t>
  </si>
  <si>
    <t>w6</t>
  </si>
  <si>
    <t>w7</t>
  </si>
  <si>
    <t>Reservoir pressure:</t>
  </si>
  <si>
    <t>Reservoir temperature:</t>
  </si>
  <si>
    <t>psia</t>
  </si>
  <si>
    <t>F</t>
  </si>
  <si>
    <t>k</t>
  </si>
  <si>
    <t>mDarcy</t>
  </si>
  <si>
    <t>h</t>
  </si>
  <si>
    <t>API</t>
  </si>
  <si>
    <t>deg</t>
  </si>
  <si>
    <t>Gas spec grav</t>
  </si>
  <si>
    <t>Oil visc in res</t>
  </si>
  <si>
    <t>cp</t>
  </si>
  <si>
    <t>-</t>
  </si>
  <si>
    <t>ft</t>
  </si>
  <si>
    <t>re</t>
  </si>
  <si>
    <t>GOR</t>
  </si>
  <si>
    <t>scf/STB</t>
  </si>
  <si>
    <t>Pb</t>
  </si>
  <si>
    <t>psi</t>
  </si>
  <si>
    <t>@</t>
  </si>
  <si>
    <t>Bo</t>
  </si>
  <si>
    <t>WC [%]</t>
  </si>
  <si>
    <t>NP [MSTB,oil]</t>
  </si>
  <si>
    <t>Field</t>
  </si>
  <si>
    <t>Pipeline</t>
  </si>
  <si>
    <t>End of tubing location:</t>
  </si>
  <si>
    <t>Overall wellbore heat trasnfer coefficient:</t>
  </si>
  <si>
    <t>Thermal conductivity of insulating material:</t>
  </si>
  <si>
    <t>Gas lift injection location:</t>
  </si>
  <si>
    <t>Packer location:</t>
  </si>
  <si>
    <t>See water temperature:</t>
  </si>
  <si>
    <t>ft above packer</t>
  </si>
  <si>
    <t>ft above end of tubing</t>
  </si>
  <si>
    <t>ft MD</t>
  </si>
  <si>
    <t>Btu/(h.F.ft2)</t>
  </si>
  <si>
    <t>Btu/(h.F.ft)</t>
  </si>
  <si>
    <t>Use steel properties from catalogs in pipesim.</t>
  </si>
  <si>
    <t>m2 to LOP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</si>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</sst>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1" fillId="2" borderId="10" xfId="0" applyFont="1" applyFill="1" applyBorder="1"/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1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cut vs NP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'Reservoir Data'!$N$5</c:f>
              <c:strCache>
                <c:ptCount val="1"/>
                <c:pt idx="0">
                  <c:v>WC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'Reservoir Data'!$M$6:$M$13</c:f>
              <c:numCache>
                <c:formatCode>General</c:formatCode>
                <c:ptCount val="8"/>
                <c:pt idx="0">
                  <c:v>0</c:v>
                </c:pt>
                <c:pt idx="1">
                  <c:v>30000</c:v>
                </c:pt>
                <c:pt idx="2">
                  <c:v>90000</c:v>
                </c:pt>
                <c:pt idx="3">
                  <c:v>93000</c:v>
                </c:pt>
                <c:pt idx="4">
                  <c:v>180000</c:v>
                </c:pt>
                <c:pt idx="5">
                  <c:v>183000</c:v>
                </c:pt>
                <c:pt idx="6">
                  <c:v>300000</c:v>
                </c:pt>
                <c:pt idx="7">
                  <c:v>390000</c:v>
                </c:pt>
              </c:numCache>
            </c:numRef>
          </c:xVal>
          <c:yVal>
            <c:numRef>
              <c:f>'Reservoir Data'!$N$6:$N$13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  <c:pt idx="4">
                  <c:v>35</c:v>
                </c:pt>
                <c:pt idx="5">
                  <c:v>70</c:v>
                </c:pt>
                <c:pt idx="6">
                  <c:v>90</c:v>
                </c:pt>
                <c:pt idx="7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2-466F-898E-74A1DD49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23216"/>
        <c:axId val="658723544"/>
      </c:scatterChart>
      <c:valAx>
        <c:axId val="6587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[MSTB oil]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3544"/>
        <c:crosses val="autoZero"/>
        <c:crossBetween val="midCat"/>
      </c:valAx>
      <c:valAx>
        <c:axId val="65872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[%]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591908</xdr:colOff>
      <xdr:row>13</xdr:row>
      <xdr:rowOff>153761</xdr:rowOff>
    </xdr:from>
    <xdr:to>
      <xdr:col>21</xdr:col>
      <xdr:colOff>43540</xdr:colOff>
      <xdr:row>33</xdr:row>
      <xdr:rowOff>110218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80FC9-6382-495B-B17F-C347ED006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19</xdr:row>
      <xdr:rowOff>114299</xdr:rowOff>
    </xdr:from>
    <xdr:to>
      <xdr:col>2</xdr:col>
      <xdr:colOff>478154</xdr:colOff>
      <xdr:row>20</xdr:row>
      <xdr:rowOff>106679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14474" y="3743324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352424</xdr:colOff>
      <xdr:row>23</xdr:row>
      <xdr:rowOff>161924</xdr:rowOff>
    </xdr:from>
    <xdr:to>
      <xdr:col>3</xdr:col>
      <xdr:colOff>535304</xdr:colOff>
      <xdr:row>24</xdr:row>
      <xdr:rowOff>154304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81224" y="4552949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333374</xdr:colOff>
      <xdr:row>24</xdr:row>
      <xdr:rowOff>38099</xdr:rowOff>
    </xdr:from>
    <xdr:to>
      <xdr:col>8</xdr:col>
      <xdr:colOff>516254</xdr:colOff>
      <xdr:row>25</xdr:row>
      <xdr:rowOff>30479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10174" y="4619624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56417</xdr:colOff>
      <xdr:row>15</xdr:row>
      <xdr:rowOff>95249</xdr:rowOff>
    </xdr:from>
    <xdr:to>
      <xdr:col>4</xdr:col>
      <xdr:colOff>237831</xdr:colOff>
      <xdr:row>16</xdr:row>
      <xdr:rowOff>87629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488955" y="2967403"/>
          <a:ext cx="181414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600"/>
        </a:p>
      </xdr:txBody>
    </xdr:sp>
    <xdr:clientData/>
  </xdr:twoCellAnchor>
  <xdr:twoCellAnchor>
    <xdr:from>
      <xdr:col>8</xdr:col>
      <xdr:colOff>73269</xdr:colOff>
      <xdr:row>16</xdr:row>
      <xdr:rowOff>111368</xdr:rowOff>
    </xdr:from>
    <xdr:to>
      <xdr:col>8</xdr:col>
      <xdr:colOff>256149</xdr:colOff>
      <xdr:row>17</xdr:row>
      <xdr:rowOff>103748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938346" y="3174022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342899</xdr:colOff>
      <xdr:row>21</xdr:row>
      <xdr:rowOff>133349</xdr:rowOff>
    </xdr:from>
    <xdr:to>
      <xdr:col>10</xdr:col>
      <xdr:colOff>525779</xdr:colOff>
      <xdr:row>22</xdr:row>
      <xdr:rowOff>125729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438899" y="4143374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295274</xdr:colOff>
      <xdr:row>21</xdr:row>
      <xdr:rowOff>180974</xdr:rowOff>
    </xdr:from>
    <xdr:to>
      <xdr:col>5</xdr:col>
      <xdr:colOff>478154</xdr:colOff>
      <xdr:row>22</xdr:row>
      <xdr:rowOff>173354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343274" y="4190999"/>
          <a:ext cx="18288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392429</xdr:colOff>
      <xdr:row>19</xdr:row>
      <xdr:rowOff>180975</xdr:rowOff>
    </xdr:from>
    <xdr:to>
      <xdr:col>4</xdr:col>
      <xdr:colOff>28575</xdr:colOff>
      <xdr:row>23</xdr:row>
      <xdr:rowOff>177164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V="1">
          <a:off x="2221229" y="3810000"/>
          <a:ext cx="245746" cy="75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16</xdr:row>
      <xdr:rowOff>87629</xdr:rowOff>
    </xdr:from>
    <xdr:to>
      <xdr:col>4</xdr:col>
      <xdr:colOff>147124</xdr:colOff>
      <xdr:row>20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5" idx="2"/>
        </xdr:cNvCxnSpPr>
      </xdr:nvCxnSpPr>
      <xdr:spPr>
        <a:xfrm flipH="1">
          <a:off x="2461113" y="3150283"/>
          <a:ext cx="118549" cy="6838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19</xdr:row>
      <xdr:rowOff>142875</xdr:rowOff>
    </xdr:from>
    <xdr:to>
      <xdr:col>4</xdr:col>
      <xdr:colOff>81915</xdr:colOff>
      <xdr:row>20</xdr:row>
      <xdr:rowOff>43815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428875" y="3771900"/>
          <a:ext cx="91440" cy="914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487679</xdr:colOff>
      <xdr:row>19</xdr:row>
      <xdr:rowOff>188595</xdr:rowOff>
    </xdr:from>
    <xdr:to>
      <xdr:col>3</xdr:col>
      <xdr:colOff>600075</xdr:colOff>
      <xdr:row>20</xdr:row>
      <xdr:rowOff>43815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endCxn id="16" idx="2"/>
        </xdr:cNvCxnSpPr>
      </xdr:nvCxnSpPr>
      <xdr:spPr>
        <a:xfrm flipV="1">
          <a:off x="1706879" y="3817620"/>
          <a:ext cx="721996" cy="45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59054</xdr:colOff>
      <xdr:row>19</xdr:row>
      <xdr:rowOff>20899</xdr:rowOff>
    </xdr:from>
    <xdr:to>
      <xdr:col>5</xdr:col>
      <xdr:colOff>422966</xdr:colOff>
      <xdr:row>20</xdr:row>
      <xdr:rowOff>5715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endCxn id="23" idx="3"/>
        </xdr:cNvCxnSpPr>
      </xdr:nvCxnSpPr>
      <xdr:spPr>
        <a:xfrm flipV="1">
          <a:off x="2497454" y="3649924"/>
          <a:ext cx="973512" cy="175316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392429</xdr:colOff>
      <xdr:row>18</xdr:row>
      <xdr:rowOff>180975</xdr:rowOff>
    </xdr:from>
    <xdr:to>
      <xdr:col>5</xdr:col>
      <xdr:colOff>447675</xdr:colOff>
      <xdr:row>21</xdr:row>
      <xdr:rowOff>177165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V="1">
          <a:off x="3440429" y="3619500"/>
          <a:ext cx="55246" cy="5676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18</xdr:row>
      <xdr:rowOff>133350</xdr:rowOff>
    </xdr:from>
    <xdr:to>
      <xdr:col>5</xdr:col>
      <xdr:colOff>501015</xdr:colOff>
      <xdr:row>19</xdr:row>
      <xdr:rowOff>34290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457575" y="3571875"/>
          <a:ext cx="91440" cy="914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497204</xdr:colOff>
      <xdr:row>15</xdr:row>
      <xdr:rowOff>47625</xdr:rowOff>
    </xdr:from>
    <xdr:to>
      <xdr:col>6</xdr:col>
      <xdr:colOff>323850</xdr:colOff>
      <xdr:row>18</xdr:row>
      <xdr:rowOff>186690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3545204" y="2914650"/>
          <a:ext cx="436246" cy="71056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421004</xdr:colOff>
      <xdr:row>21</xdr:row>
      <xdr:rowOff>38100</xdr:rowOff>
    </xdr:from>
    <xdr:to>
      <xdr:col>8</xdr:col>
      <xdr:colOff>466725</xdr:colOff>
      <xdr:row>24</xdr:row>
      <xdr:rowOff>43815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V="1">
          <a:off x="5297804" y="4048125"/>
          <a:ext cx="45721" cy="5772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466726</xdr:colOff>
      <xdr:row>21</xdr:row>
      <xdr:rowOff>38101</xdr:rowOff>
    </xdr:from>
    <xdr:to>
      <xdr:col>10</xdr:col>
      <xdr:colOff>342899</xdr:colOff>
      <xdr:row>22</xdr:row>
      <xdr:rowOff>34289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stCxn id="7" idx="1"/>
        </xdr:cNvCxnSpPr>
      </xdr:nvCxnSpPr>
      <xdr:spPr>
        <a:xfrm flipH="1" flipV="1">
          <a:off x="5343526" y="4048126"/>
          <a:ext cx="1095373" cy="1866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164709</xdr:colOff>
      <xdr:row>17</xdr:row>
      <xdr:rowOff>103748</xdr:rowOff>
    </xdr:from>
    <xdr:to>
      <xdr:col>8</xdr:col>
      <xdr:colOff>432491</xdr:colOff>
      <xdr:row>20</xdr:row>
      <xdr:rowOff>184841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6" idx="2"/>
          <a:endCxn id="37" idx="1"/>
        </xdr:cNvCxnSpPr>
      </xdr:nvCxnSpPr>
      <xdr:spPr>
        <a:xfrm>
          <a:off x="5029786" y="3356902"/>
          <a:ext cx="267782" cy="6525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20</xdr:row>
      <xdr:rowOff>171450</xdr:rowOff>
    </xdr:from>
    <xdr:to>
      <xdr:col>8</xdr:col>
      <xdr:colOff>510540</xdr:colOff>
      <xdr:row>21</xdr:row>
      <xdr:rowOff>72390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295900" y="3990975"/>
          <a:ext cx="91440" cy="914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501015</xdr:colOff>
      <xdr:row>18</xdr:row>
      <xdr:rowOff>179070</xdr:rowOff>
    </xdr:from>
    <xdr:to>
      <xdr:col>8</xdr:col>
      <xdr:colOff>442016</xdr:colOff>
      <xdr:row>21</xdr:row>
      <xdr:rowOff>11374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>
          <a:stCxn id="23" idx="6"/>
        </xdr:cNvCxnSpPr>
      </xdr:nvCxnSpPr>
      <xdr:spPr>
        <a:xfrm>
          <a:off x="3549015" y="3617595"/>
          <a:ext cx="1769801" cy="403804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601267</xdr:colOff>
      <xdr:row>14</xdr:row>
      <xdr:rowOff>7326</xdr:rowOff>
    </xdr:from>
    <xdr:ext cx="35702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425671" y="268898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w1</a:t>
          </a:r>
        </a:p>
      </xdr:txBody>
    </xdr:sp>
    <xdr:clientData/>
  </xdr:oneCellAnchor>
  <xdr:oneCellAnchor>
    <xdr:from>
      <xdr:col>2</xdr:col>
      <xdr:colOff>116682</xdr:colOff>
      <xdr:row>18</xdr:row>
      <xdr:rowOff>27384</xdr:rowOff>
    </xdr:from>
    <xdr:ext cx="35702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331120" y="3480197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w2</a:t>
          </a:r>
        </a:p>
      </xdr:txBody>
    </xdr:sp>
    <xdr:clientData/>
  </xdr:oneCellAnchor>
  <xdr:oneCellAnchor>
    <xdr:from>
      <xdr:col>3</xdr:col>
      <xdr:colOff>316708</xdr:colOff>
      <xdr:row>24</xdr:row>
      <xdr:rowOff>114299</xdr:rowOff>
    </xdr:from>
    <xdr:ext cx="35702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138364" y="4710112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w3</a:t>
          </a:r>
        </a:p>
      </xdr:txBody>
    </xdr:sp>
    <xdr:clientData/>
  </xdr:oneCellAnchor>
  <xdr:oneCellAnchor>
    <xdr:from>
      <xdr:col>5</xdr:col>
      <xdr:colOff>236935</xdr:colOff>
      <xdr:row>23</xdr:row>
      <xdr:rowOff>4762</xdr:rowOff>
    </xdr:from>
    <xdr:ext cx="35702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3273029" y="4410075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w4</a:t>
          </a:r>
        </a:p>
      </xdr:txBody>
    </xdr:sp>
    <xdr:clientData/>
  </xdr:oneCellAnchor>
  <xdr:oneCellAnchor>
    <xdr:from>
      <xdr:col>8</xdr:col>
      <xdr:colOff>19326</xdr:colOff>
      <xdr:row>15</xdr:row>
      <xdr:rowOff>18867</xdr:rowOff>
    </xdr:from>
    <xdr:ext cx="35702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4884403" y="2891021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w5</a:t>
          </a:r>
        </a:p>
      </xdr:txBody>
    </xdr:sp>
    <xdr:clientData/>
  </xdr:oneCellAnchor>
  <xdr:oneCellAnchor>
    <xdr:from>
      <xdr:col>8</xdr:col>
      <xdr:colOff>494110</xdr:colOff>
      <xdr:row>24</xdr:row>
      <xdr:rowOff>23813</xdr:rowOff>
    </xdr:from>
    <xdr:ext cx="35702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5351860" y="4619626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w6</a:t>
          </a:r>
        </a:p>
      </xdr:txBody>
    </xdr:sp>
    <xdr:clientData/>
  </xdr:oneCellAnchor>
  <xdr:oneCellAnchor>
    <xdr:from>
      <xdr:col>10</xdr:col>
      <xdr:colOff>253603</xdr:colOff>
      <xdr:row>20</xdr:row>
      <xdr:rowOff>33338</xdr:rowOff>
    </xdr:from>
    <xdr:ext cx="35702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6325791" y="3867151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w7</a:t>
          </a:r>
        </a:p>
      </xdr:txBody>
    </xdr:sp>
    <xdr:clientData/>
  </xdr:oneCellAnchor>
  <xdr:oneCellAnchor>
    <xdr:from>
      <xdr:col>3</xdr:col>
      <xdr:colOff>563167</xdr:colOff>
      <xdr:row>19</xdr:row>
      <xdr:rowOff>176211</xdr:rowOff>
    </xdr:from>
    <xdr:ext cx="36881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384823" y="3819524"/>
          <a:ext cx="3688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m1</a:t>
          </a:r>
        </a:p>
      </xdr:txBody>
    </xdr:sp>
    <xdr:clientData/>
  </xdr:oneCellAnchor>
  <xdr:oneCellAnchor>
    <xdr:from>
      <xdr:col>5</xdr:col>
      <xdr:colOff>179785</xdr:colOff>
      <xdr:row>17</xdr:row>
      <xdr:rowOff>114298</xdr:rowOff>
    </xdr:from>
    <xdr:ext cx="36881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3215879" y="3376611"/>
          <a:ext cx="3688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m2</a:t>
          </a:r>
        </a:p>
      </xdr:txBody>
    </xdr:sp>
    <xdr:clientData/>
  </xdr:oneCellAnchor>
  <xdr:oneCellAnchor>
    <xdr:from>
      <xdr:col>8</xdr:col>
      <xdr:colOff>117872</xdr:colOff>
      <xdr:row>20</xdr:row>
      <xdr:rowOff>177401</xdr:rowOff>
    </xdr:from>
    <xdr:ext cx="36881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4975622" y="4011214"/>
          <a:ext cx="3688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m3</a:t>
          </a:r>
        </a:p>
      </xdr:txBody>
    </xdr:sp>
    <xdr:clientData/>
  </xdr:oneCellAnchor>
  <xdr:twoCellAnchor editAs="oneCell">
    <xdr:from>
      <xdr:col>2</xdr:col>
      <xdr:colOff>457903</xdr:colOff>
      <xdr:row>40</xdr:row>
      <xdr:rowOff>93565</xdr:rowOff>
    </xdr:from>
    <xdr:to>
      <xdr:col>3</xdr:col>
      <xdr:colOff>305503</xdr:colOff>
      <xdr:row>46</xdr:row>
      <xdr:rowOff>165908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6E27398-C084-4E76-BBDE-F912392B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346031" y="4130237"/>
          <a:ext cx="1215343" cy="457200"/>
        </a:xfrm>
        <a:prstGeom prst="rect">
          <a:avLst/>
        </a:prstGeom>
      </xdr:spPr>
    </xdr:pic>
    <xdr:clientData/>
  </xdr:twoCellAnchor>
  <xdr:twoCellAnchor>
    <xdr:from>
      <xdr:col>8</xdr:col>
      <xdr:colOff>437030</xdr:colOff>
      <xdr:row>36</xdr:row>
      <xdr:rowOff>76200</xdr:rowOff>
    </xdr:from>
    <xdr:to>
      <xdr:col>9</xdr:col>
      <xdr:colOff>270510</xdr:colOff>
      <xdr:row>37</xdr:row>
      <xdr:rowOff>160020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2F274F7-B11B-40D8-B5A6-0C92873F8D3C}"/>
            </a:ext>
          </a:extLst>
        </xdr:cNvPr>
        <xdr:cNvSpPr/>
      </xdr:nvSpPr>
      <xdr:spPr>
        <a:xfrm>
          <a:off x="8361830" y="2971800"/>
          <a:ext cx="443080" cy="274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LOP</a:t>
          </a:r>
        </a:p>
      </xdr:txBody>
    </xdr:sp>
    <xdr:clientData/>
  </xdr:twoCellAnchor>
  <xdr:twoCellAnchor>
    <xdr:from>
      <xdr:col>3</xdr:col>
      <xdr:colOff>295275</xdr:colOff>
      <xdr:row>43</xdr:row>
      <xdr:rowOff>112395</xdr:rowOff>
    </xdr:from>
    <xdr:to>
      <xdr:col>5</xdr:col>
      <xdr:colOff>381000</xdr:colOff>
      <xdr:row>45</xdr:row>
      <xdr:rowOff>123825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D290BC7-171D-48A7-B94D-AB7084D8D09E}"/>
            </a:ext>
          </a:extLst>
        </xdr:cNvPr>
        <xdr:cNvCxnSpPr/>
      </xdr:nvCxnSpPr>
      <xdr:spPr>
        <a:xfrm>
          <a:off x="5172075" y="4341495"/>
          <a:ext cx="1304925" cy="392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45</xdr:row>
      <xdr:rowOff>74295</xdr:rowOff>
    </xdr:from>
    <xdr:to>
      <xdr:col>6</xdr:col>
      <xdr:colOff>493396</xdr:colOff>
      <xdr:row>45</xdr:row>
      <xdr:rowOff>120015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210F56F-A86D-45D4-898B-F268CDA25B3C}"/>
            </a:ext>
          </a:extLst>
        </xdr:cNvPr>
        <xdr:cNvCxnSpPr/>
      </xdr:nvCxnSpPr>
      <xdr:spPr>
        <a:xfrm flipV="1">
          <a:off x="6477000" y="4684395"/>
          <a:ext cx="721996" cy="45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37</xdr:row>
      <xdr:rowOff>160020</xdr:rowOff>
    </xdr:from>
    <xdr:to>
      <xdr:col>9</xdr:col>
      <xdr:colOff>51211</xdr:colOff>
      <xdr:row>45</xdr:row>
      <xdr:rowOff>72390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8D13026-71F4-461C-9F76-085A5E117B3A}"/>
            </a:ext>
          </a:extLst>
        </xdr:cNvPr>
        <xdr:cNvCxnSpPr>
          <a:endCxn id="51" idx="2"/>
        </xdr:cNvCxnSpPr>
      </xdr:nvCxnSpPr>
      <xdr:spPr>
        <a:xfrm flipV="1">
          <a:off x="7181850" y="3246120"/>
          <a:ext cx="1403761" cy="14363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112059</xdr:colOff>
      <xdr:row>41</xdr:row>
      <xdr:rowOff>168088</xdr:rowOff>
    </xdr:from>
    <xdr:ext cx="36881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00C2F7E-FDFB-436D-9DAA-26F00826CBF5}"/>
            </a:ext>
          </a:extLst>
        </xdr:cNvPr>
        <xdr:cNvSpPr txBox="1"/>
      </xdr:nvSpPr>
      <xdr:spPr>
        <a:xfrm>
          <a:off x="1927412" y="8135470"/>
          <a:ext cx="3688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BB65"/>
  <sheetViews>
    <sheetView zoomScaleNormal="100" workbookViewId="0">
      <selection activeCell="P10" sqref="P10"/>
    </sheetView>
  </sheetViews>
  <sheetFormatPr defaultRowHeight="15" x14ac:dyDescent="0.25"/>
  <cols>
    <col min="4" max="4" width="23" bestFit="1" customWidth="1"/>
    <col min="13" max="13" width="12.5703125" bestFit="1" customWidth="1"/>
  </cols>
  <sheetData>
    <row r="4" spans="4:14" x14ac:dyDescent="0.25">
      <c r="D4" t="s">
        <v>20</v>
      </c>
      <c r="F4">
        <v>3800</v>
      </c>
      <c r="G4" t="s">
        <v>22</v>
      </c>
    </row>
    <row r="5" spans="4:14" x14ac:dyDescent="0.25">
      <c r="D5" t="s">
        <v>21</v>
      </c>
      <c r="G5">
        <v>200</v>
      </c>
      <c r="H5" t="s">
        <v>23</v>
      </c>
      <c r="M5" t="s">
        <v>42</v>
      </c>
      <c r="N5" t="s">
        <v>41</v>
      </c>
    </row>
    <row r="6" spans="4:14" x14ac:dyDescent="0.25">
      <c r="D6" t="s">
        <v>24</v>
      </c>
      <c r="E6">
        <v>40</v>
      </c>
      <c r="F6" t="s">
        <v>25</v>
      </c>
      <c r="M6">
        <v>0</v>
      </c>
      <c r="N6">
        <v>2</v>
      </c>
    </row>
    <row r="7" spans="4:14" x14ac:dyDescent="0.25">
      <c r="D7" t="s">
        <v>26</v>
      </c>
      <c r="E7">
        <v>150</v>
      </c>
      <c r="F7" t="s">
        <v>33</v>
      </c>
      <c r="M7">
        <v>30000</v>
      </c>
      <c r="N7">
        <v>2</v>
      </c>
    </row>
    <row r="8" spans="4:14" x14ac:dyDescent="0.25">
      <c r="D8" t="s">
        <v>34</v>
      </c>
      <c r="E8">
        <v>372</v>
      </c>
      <c r="F8" t="s">
        <v>33</v>
      </c>
      <c r="M8">
        <v>90000</v>
      </c>
      <c r="N8">
        <v>5</v>
      </c>
    </row>
    <row r="9" spans="4:14" x14ac:dyDescent="0.25">
      <c r="D9" t="s">
        <v>58</v>
      </c>
      <c r="E9">
        <v>0</v>
      </c>
      <c r="M9">
        <v>93000</v>
      </c>
      <c r="N9">
        <v>20</v>
      </c>
    </row>
    <row r="10" spans="4:14" x14ac:dyDescent="0.25">
      <c r="D10" t="s">
        <v>27</v>
      </c>
      <c r="E10">
        <v>45</v>
      </c>
      <c r="F10" t="s">
        <v>28</v>
      </c>
      <c r="M10">
        <v>180000</v>
      </c>
      <c r="N10">
        <v>35</v>
      </c>
    </row>
    <row r="11" spans="4:14" x14ac:dyDescent="0.25">
      <c r="D11" t="s">
        <v>30</v>
      </c>
      <c r="E11">
        <v>0.90200000000000002</v>
      </c>
      <c r="F11" t="s">
        <v>31</v>
      </c>
      <c r="M11">
        <v>183000</v>
      </c>
      <c r="N11">
        <v>70</v>
      </c>
    </row>
    <row r="12" spans="4:14" x14ac:dyDescent="0.25">
      <c r="D12" t="s">
        <v>29</v>
      </c>
      <c r="E12">
        <v>0.66359999999999997</v>
      </c>
      <c r="F12" t="s">
        <v>32</v>
      </c>
      <c r="M12">
        <v>300000</v>
      </c>
      <c r="N12">
        <v>90</v>
      </c>
    </row>
    <row r="13" spans="4:14" x14ac:dyDescent="0.25">
      <c r="D13" t="s">
        <v>35</v>
      </c>
      <c r="E13">
        <v>800</v>
      </c>
      <c r="F13" t="s">
        <v>36</v>
      </c>
      <c r="M13">
        <v>390000</v>
      </c>
      <c r="N13">
        <v>95</v>
      </c>
    </row>
    <row r="14" spans="4:14" x14ac:dyDescent="0.25">
      <c r="D14" t="s">
        <v>37</v>
      </c>
      <c r="E14">
        <v>3800</v>
      </c>
      <c r="F14" t="s">
        <v>38</v>
      </c>
      <c r="G14" t="s">
        <v>39</v>
      </c>
      <c r="H14">
        <v>200</v>
      </c>
      <c r="I14" t="s">
        <v>23</v>
      </c>
    </row>
    <row r="15" spans="4:14" x14ac:dyDescent="0.25">
      <c r="D15" t="s">
        <v>40</v>
      </c>
      <c r="E15">
        <v>1.2</v>
      </c>
      <c r="F15" t="s">
        <v>39</v>
      </c>
      <c r="G15" t="s">
        <v>37</v>
      </c>
    </row>
    <row r="16" spans="4:14" x14ac:dyDescent="0.25">
      <c r="I16" s="24"/>
    </row>
    <row r="32" spans="21:46" x14ac:dyDescent="0.25">
      <c r="U32" s="24"/>
      <c r="X32" s="24"/>
      <c r="Y32" s="24"/>
      <c r="Z32" s="24"/>
      <c r="AA32" s="24"/>
      <c r="AL32" s="24"/>
      <c r="AN32" s="24"/>
      <c r="AP32" s="24"/>
      <c r="AR32" s="24"/>
      <c r="AT32" s="24"/>
    </row>
    <row r="33" spans="19:54" x14ac:dyDescent="0.25">
      <c r="U33" s="24"/>
      <c r="V33" s="24"/>
      <c r="X33" s="24"/>
      <c r="Y33" s="24"/>
      <c r="Z33" s="24"/>
      <c r="AA33" s="24"/>
      <c r="AL33" s="24"/>
      <c r="AN33" s="24"/>
      <c r="AP33" s="24"/>
      <c r="AR33" s="24"/>
    </row>
    <row r="34" spans="19:54" x14ac:dyDescent="0.25">
      <c r="U34" s="24"/>
      <c r="X34" s="24"/>
      <c r="Y34" s="24"/>
      <c r="Z34" s="24"/>
      <c r="AA34" s="24"/>
      <c r="AL34" s="24"/>
      <c r="AN34" s="24"/>
      <c r="AP34" s="24"/>
      <c r="AR34" s="24"/>
      <c r="AT34" s="24"/>
    </row>
    <row r="35" spans="19:54" x14ac:dyDescent="0.25">
      <c r="U35" s="24"/>
      <c r="X35" s="24"/>
      <c r="Y35" s="24"/>
      <c r="Z35" s="24"/>
      <c r="AA35" s="24"/>
      <c r="AL35" s="24"/>
      <c r="AM35" s="24"/>
      <c r="AN35" s="24"/>
      <c r="AP35" s="24"/>
      <c r="AQ35" s="24"/>
      <c r="AR35" s="24"/>
    </row>
    <row r="36" spans="19:54" x14ac:dyDescent="0.25">
      <c r="U36" s="24"/>
      <c r="X36" s="24"/>
      <c r="Y36" s="24"/>
      <c r="Z36" s="24"/>
      <c r="AA36" s="24"/>
      <c r="AP36" s="24"/>
      <c r="AQ36" s="24"/>
      <c r="AR36" s="24"/>
    </row>
    <row r="37" spans="19:54" x14ac:dyDescent="0.25">
      <c r="X37" s="24"/>
      <c r="Y37" s="24"/>
      <c r="Z37" s="24"/>
      <c r="AA37" s="24"/>
      <c r="AP37" s="24"/>
      <c r="AQ37" s="24"/>
      <c r="AR37" s="24"/>
    </row>
    <row r="38" spans="19:54" x14ac:dyDescent="0.25">
      <c r="X38" s="24"/>
      <c r="Y38" s="24"/>
      <c r="Z38" s="24"/>
      <c r="AA38" s="24"/>
      <c r="AP38" s="24"/>
      <c r="AQ38" s="24"/>
      <c r="AR38" s="24"/>
    </row>
    <row r="39" spans="19:54" x14ac:dyDescent="0.25">
      <c r="X39" s="24"/>
      <c r="Y39" s="24"/>
      <c r="Z39" s="24"/>
      <c r="AA39" s="24"/>
      <c r="AV39" s="24"/>
    </row>
    <row r="40" spans="19:54" x14ac:dyDescent="0.25">
      <c r="X40" s="24"/>
      <c r="Y40" s="24"/>
      <c r="Z40" s="24"/>
      <c r="AA40" s="24"/>
    </row>
    <row r="41" spans="19:54" x14ac:dyDescent="0.25">
      <c r="X41" s="24"/>
      <c r="Y41" s="24"/>
      <c r="Z41" s="24"/>
      <c r="AA41" s="24"/>
    </row>
    <row r="42" spans="19:54" x14ac:dyDescent="0.25">
      <c r="U42" s="24"/>
      <c r="V42" s="24"/>
      <c r="X42" s="24"/>
      <c r="Y42" s="24"/>
      <c r="Z42" s="24"/>
      <c r="AA42" s="24"/>
      <c r="BB42" s="24"/>
    </row>
    <row r="43" spans="19:54" x14ac:dyDescent="0.25">
      <c r="S43" s="24"/>
      <c r="V43" s="24"/>
      <c r="W43" s="24"/>
      <c r="X43" s="24"/>
      <c r="Y43" s="24"/>
      <c r="Z43" s="24"/>
      <c r="AA43" s="24"/>
      <c r="AJ43" s="24"/>
      <c r="AL43" s="24"/>
      <c r="AN43" s="24"/>
      <c r="AP43" s="24"/>
      <c r="AR43" s="24"/>
      <c r="BB43" s="24"/>
    </row>
    <row r="44" spans="19:54" x14ac:dyDescent="0.25">
      <c r="S44" s="24"/>
      <c r="T44" s="24"/>
      <c r="V44" s="24"/>
      <c r="W44" s="24"/>
      <c r="X44" s="24"/>
      <c r="Y44" s="24"/>
      <c r="Z44" s="24"/>
      <c r="AA44" s="24"/>
      <c r="AJ44" s="24"/>
      <c r="AL44" s="24"/>
      <c r="AN44" s="24"/>
      <c r="AP44" s="24"/>
      <c r="AR44" s="24"/>
      <c r="BB44" s="24"/>
    </row>
    <row r="45" spans="19:54" x14ac:dyDescent="0.25">
      <c r="S45" s="24"/>
      <c r="T45" s="24"/>
      <c r="V45" s="24"/>
      <c r="W45" s="24"/>
      <c r="X45" s="24"/>
      <c r="Y45" s="24"/>
      <c r="Z45" s="24"/>
      <c r="AA45" s="24"/>
      <c r="AJ45" s="24"/>
      <c r="AL45" s="24"/>
      <c r="AN45" s="24"/>
      <c r="AP45" s="24"/>
      <c r="AR45" s="24"/>
      <c r="BB45" s="24"/>
    </row>
    <row r="46" spans="19:54" x14ac:dyDescent="0.25">
      <c r="S46" s="24"/>
      <c r="V46" s="24"/>
      <c r="W46" s="24"/>
      <c r="X46" s="24"/>
      <c r="Y46" s="24"/>
      <c r="Z46" s="24"/>
      <c r="AA46" s="24"/>
      <c r="AJ46" s="24"/>
      <c r="AK46" s="24"/>
      <c r="AL46" s="24"/>
      <c r="AN46" s="24"/>
      <c r="AO46" s="24"/>
      <c r="AP46" s="24"/>
      <c r="AR46" s="24"/>
      <c r="BB46" s="24"/>
    </row>
    <row r="47" spans="19:54" x14ac:dyDescent="0.25">
      <c r="S47" s="24"/>
      <c r="V47" s="24"/>
      <c r="W47" s="24"/>
      <c r="X47" s="24"/>
      <c r="Y47" s="24"/>
      <c r="Z47" s="24"/>
      <c r="AA47" s="24"/>
      <c r="AJ47" s="24"/>
      <c r="AK47" s="24"/>
      <c r="AL47" s="24"/>
      <c r="AN47" s="24"/>
      <c r="AO47" s="24"/>
      <c r="AP47" s="24"/>
      <c r="BB47" s="24"/>
    </row>
    <row r="48" spans="19:54" x14ac:dyDescent="0.25">
      <c r="S48" s="24"/>
      <c r="V48" s="24"/>
      <c r="W48" s="24"/>
      <c r="X48" s="24"/>
      <c r="Y48" s="24"/>
      <c r="Z48" s="24"/>
      <c r="AA48" s="24"/>
      <c r="AN48" s="24"/>
      <c r="AO48" s="24"/>
      <c r="AP48" s="24"/>
      <c r="BB48" s="24"/>
    </row>
    <row r="49" spans="19:54" x14ac:dyDescent="0.25">
      <c r="V49" s="24"/>
      <c r="W49" s="24"/>
      <c r="X49" s="24"/>
      <c r="Y49" s="24"/>
      <c r="Z49" s="24"/>
      <c r="AA49" s="24"/>
      <c r="AN49" s="24"/>
      <c r="AO49" s="24"/>
      <c r="AP49" s="24"/>
      <c r="BB49" s="24"/>
    </row>
    <row r="50" spans="19:54" x14ac:dyDescent="0.25">
      <c r="U50" s="24"/>
      <c r="V50" s="24"/>
      <c r="W50" s="24"/>
      <c r="X50" s="24"/>
      <c r="Y50" s="24"/>
      <c r="Z50" s="24"/>
      <c r="AA50" s="24"/>
      <c r="AH50" s="24"/>
      <c r="AN50" s="24"/>
      <c r="AO50" s="24"/>
      <c r="AP50" s="24"/>
      <c r="AT50" s="24"/>
      <c r="BB50" s="24"/>
    </row>
    <row r="51" spans="19:54" x14ac:dyDescent="0.25">
      <c r="V51" s="24"/>
      <c r="W51" s="24"/>
      <c r="X51" s="24"/>
      <c r="Y51" s="24"/>
      <c r="Z51" s="24"/>
      <c r="AA51" s="24"/>
      <c r="AH51" s="24"/>
      <c r="AT51" s="24"/>
      <c r="BB51" s="24"/>
    </row>
    <row r="52" spans="19:54" x14ac:dyDescent="0.25">
      <c r="V52" s="24"/>
      <c r="W52" s="24"/>
      <c r="X52" s="24"/>
      <c r="Y52" s="24"/>
      <c r="Z52" s="24"/>
      <c r="AA52" s="24"/>
      <c r="AH52" s="24"/>
      <c r="BB52" s="24"/>
    </row>
    <row r="53" spans="19:54" x14ac:dyDescent="0.25">
      <c r="S53" s="24"/>
      <c r="T53" s="24"/>
      <c r="V53" s="24"/>
      <c r="W53" s="24"/>
      <c r="X53" s="24"/>
      <c r="Y53" s="24"/>
      <c r="Z53" s="24"/>
      <c r="AA53" s="24"/>
      <c r="AZ53" s="24"/>
      <c r="BB53" s="24"/>
    </row>
    <row r="54" spans="19:54" x14ac:dyDescent="0.25">
      <c r="S54" s="24"/>
      <c r="T54" s="24"/>
      <c r="V54" s="24"/>
      <c r="W54" s="24"/>
      <c r="X54" s="24"/>
      <c r="Y54" s="24"/>
      <c r="AZ54" s="24"/>
    </row>
    <row r="55" spans="19:54" x14ac:dyDescent="0.25">
      <c r="T55" s="24"/>
      <c r="V55" s="24"/>
      <c r="W55" s="24"/>
      <c r="X55" s="24"/>
      <c r="Y55" s="24"/>
      <c r="AZ55" s="24"/>
    </row>
    <row r="56" spans="19:54" x14ac:dyDescent="0.25">
      <c r="T56" s="24"/>
      <c r="V56" s="24"/>
      <c r="W56" s="24"/>
      <c r="X56" s="24"/>
      <c r="Y56" s="24"/>
      <c r="AZ56" s="24"/>
    </row>
    <row r="57" spans="19:54" x14ac:dyDescent="0.25">
      <c r="T57" s="24"/>
      <c r="V57" s="24"/>
      <c r="W57" s="24"/>
      <c r="X57" s="24"/>
      <c r="Y57" s="24"/>
      <c r="AZ57" s="24"/>
    </row>
    <row r="58" spans="19:54" x14ac:dyDescent="0.25">
      <c r="T58" s="24"/>
      <c r="V58" s="24"/>
      <c r="W58" s="24"/>
      <c r="X58" s="24"/>
      <c r="Y58" s="24"/>
      <c r="AZ58" s="24"/>
    </row>
    <row r="59" spans="19:54" x14ac:dyDescent="0.25">
      <c r="T59" s="24"/>
      <c r="V59" s="24"/>
      <c r="W59" s="24"/>
      <c r="X59" s="24"/>
      <c r="Y59" s="24"/>
      <c r="AZ59" s="24"/>
    </row>
    <row r="60" spans="19:54" x14ac:dyDescent="0.25">
      <c r="T60" s="24"/>
      <c r="V60" s="24"/>
      <c r="W60" s="24"/>
      <c r="X60" s="24"/>
      <c r="Y60" s="24"/>
      <c r="AZ60" s="24"/>
    </row>
    <row r="61" spans="19:54" x14ac:dyDescent="0.25">
      <c r="S61" s="24"/>
      <c r="T61" s="24"/>
      <c r="V61" s="24"/>
      <c r="W61" s="24"/>
      <c r="X61" s="24"/>
      <c r="Y61" s="24"/>
      <c r="AF61" s="24"/>
      <c r="AZ61" s="24"/>
    </row>
    <row r="62" spans="19:54" x14ac:dyDescent="0.25">
      <c r="S62" s="24"/>
      <c r="T62" s="24"/>
      <c r="V62" s="24"/>
      <c r="W62" s="24"/>
      <c r="X62" s="24"/>
      <c r="Y62" s="24"/>
      <c r="AF62" s="24"/>
      <c r="AZ62" s="24"/>
    </row>
    <row r="63" spans="19:54" x14ac:dyDescent="0.25">
      <c r="T63" s="24"/>
      <c r="V63" s="24"/>
      <c r="W63" s="24"/>
      <c r="X63" s="24"/>
      <c r="Y63" s="24"/>
      <c r="AF63" s="24"/>
      <c r="AZ63" s="24"/>
    </row>
    <row r="64" spans="19:54" x14ac:dyDescent="0.25">
      <c r="T64" s="24"/>
      <c r="V64" s="24"/>
      <c r="W64" s="24"/>
      <c r="X64" s="24"/>
      <c r="Y64" s="24"/>
      <c r="AF64" s="24"/>
      <c r="AZ64" s="24"/>
    </row>
    <row r="65" spans="20:52" x14ac:dyDescent="0.25">
      <c r="T65" s="24"/>
      <c r="V65" s="24"/>
      <c r="W65" s="24"/>
      <c r="X65" s="24"/>
      <c r="Y65" s="24"/>
      <c r="AZ65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53"/>
  <sheetViews>
    <sheetView zoomScale="85" zoomScaleNormal="85" workbookViewId="0">
      <selection activeCell="P33" sqref="P33"/>
    </sheetView>
  </sheetViews>
  <sheetFormatPr defaultRowHeight="15" x14ac:dyDescent="0.25"/>
  <cols>
    <col min="1" max="16384" width="9.140625" style="1"/>
  </cols>
  <sheetData>
    <row r="3" spans="3:11" ht="15.75" thickBot="1" x14ac:dyDescent="0.3"/>
    <row r="4" spans="3:11" x14ac:dyDescent="0.25">
      <c r="E4" s="25" t="s">
        <v>43</v>
      </c>
      <c r="F4" s="26"/>
      <c r="G4" s="26"/>
      <c r="H4" s="26"/>
      <c r="I4" s="27"/>
    </row>
    <row r="5" spans="3:11" x14ac:dyDescent="0.25">
      <c r="E5" s="28"/>
      <c r="F5" s="29"/>
      <c r="G5" s="29"/>
      <c r="H5" s="29"/>
      <c r="I5" s="30"/>
    </row>
    <row r="6" spans="3:11" ht="15.75" thickBot="1" x14ac:dyDescent="0.3">
      <c r="E6" s="31"/>
      <c r="F6" s="32"/>
      <c r="G6" s="32"/>
      <c r="H6" s="32"/>
      <c r="I6" s="33"/>
    </row>
    <row r="7" spans="3:11" x14ac:dyDescent="0.25">
      <c r="C7" s="2"/>
      <c r="D7" s="3"/>
      <c r="E7" s="3"/>
      <c r="F7" s="3"/>
      <c r="G7" s="3"/>
      <c r="H7" s="3"/>
      <c r="I7" s="3"/>
      <c r="J7" s="3"/>
      <c r="K7" s="4"/>
    </row>
    <row r="8" spans="3:11" x14ac:dyDescent="0.25">
      <c r="C8" s="5"/>
      <c r="D8" s="6"/>
      <c r="E8" s="6"/>
      <c r="F8" s="6"/>
      <c r="G8" s="6"/>
      <c r="H8" s="6"/>
      <c r="I8" s="6"/>
      <c r="J8" s="6"/>
      <c r="K8" s="7"/>
    </row>
    <row r="9" spans="3:11" x14ac:dyDescent="0.25">
      <c r="C9" s="5"/>
      <c r="D9" s="6"/>
      <c r="E9" s="6"/>
      <c r="F9" s="6"/>
      <c r="G9" s="6"/>
      <c r="H9" s="6"/>
      <c r="I9" s="6"/>
      <c r="J9" s="6"/>
      <c r="K9" s="7"/>
    </row>
    <row r="10" spans="3:11" x14ac:dyDescent="0.25">
      <c r="C10" s="5"/>
      <c r="D10" s="6"/>
      <c r="E10" s="6"/>
      <c r="F10" s="6"/>
      <c r="G10" s="6"/>
      <c r="H10" s="6"/>
      <c r="I10" s="6"/>
      <c r="J10" s="6"/>
      <c r="K10" s="7"/>
    </row>
    <row r="11" spans="3:11" x14ac:dyDescent="0.25">
      <c r="C11" s="5"/>
      <c r="D11" s="6"/>
      <c r="E11" s="6"/>
      <c r="F11" s="6"/>
      <c r="G11" s="6"/>
      <c r="H11" s="6"/>
      <c r="I11" s="6"/>
      <c r="J11" s="6"/>
      <c r="K11" s="7"/>
    </row>
    <row r="12" spans="3:11" x14ac:dyDescent="0.25">
      <c r="C12" s="5"/>
      <c r="D12" s="6"/>
      <c r="E12" s="6"/>
      <c r="F12" s="6"/>
      <c r="G12" s="6"/>
      <c r="H12" s="6"/>
      <c r="I12" s="6"/>
      <c r="J12" s="6"/>
      <c r="K12" s="7"/>
    </row>
    <row r="13" spans="3:11" x14ac:dyDescent="0.25">
      <c r="C13" s="5"/>
      <c r="D13" s="6"/>
      <c r="E13" s="6"/>
      <c r="F13" s="6"/>
      <c r="G13" s="6"/>
      <c r="H13" s="6"/>
      <c r="I13" s="6"/>
      <c r="J13" s="6"/>
      <c r="K13" s="7"/>
    </row>
    <row r="14" spans="3:11" x14ac:dyDescent="0.25">
      <c r="C14" s="5"/>
      <c r="D14" s="6"/>
      <c r="E14" s="6"/>
      <c r="F14" s="6"/>
      <c r="G14" s="6"/>
      <c r="H14" s="6"/>
      <c r="I14" s="6"/>
      <c r="J14" s="6"/>
      <c r="K14" s="7"/>
    </row>
    <row r="15" spans="3:11" x14ac:dyDescent="0.25">
      <c r="C15" s="5"/>
      <c r="D15" s="6"/>
      <c r="E15" s="6"/>
      <c r="F15" s="6"/>
      <c r="G15" s="6"/>
      <c r="H15" s="6"/>
      <c r="I15" s="6"/>
      <c r="J15" s="6"/>
      <c r="K15" s="7"/>
    </row>
    <row r="16" spans="3:11" x14ac:dyDescent="0.25">
      <c r="C16" s="5"/>
      <c r="D16" s="6"/>
      <c r="E16" s="6"/>
      <c r="F16" s="6"/>
      <c r="G16" s="6"/>
      <c r="H16" s="6"/>
      <c r="I16" s="6"/>
      <c r="J16" s="6"/>
      <c r="K16" s="7"/>
    </row>
    <row r="17" spans="3:11" x14ac:dyDescent="0.25">
      <c r="C17" s="5"/>
      <c r="D17" s="6"/>
      <c r="E17" s="6"/>
      <c r="F17" s="6"/>
      <c r="G17" s="6"/>
      <c r="H17" s="6"/>
      <c r="I17" s="6"/>
      <c r="J17" s="6"/>
      <c r="K17" s="7"/>
    </row>
    <row r="18" spans="3:11" x14ac:dyDescent="0.25">
      <c r="C18" s="5"/>
      <c r="D18" s="6"/>
      <c r="E18" s="6"/>
      <c r="F18" s="6"/>
      <c r="G18" s="6"/>
      <c r="H18" s="6"/>
      <c r="I18" s="6"/>
      <c r="J18" s="6"/>
      <c r="K18" s="7"/>
    </row>
    <row r="19" spans="3:11" x14ac:dyDescent="0.25">
      <c r="C19" s="5"/>
      <c r="D19" s="6"/>
      <c r="E19" s="6"/>
      <c r="F19" s="6"/>
      <c r="G19" s="6"/>
      <c r="H19" s="6"/>
      <c r="I19" s="6"/>
      <c r="J19" s="6"/>
      <c r="K19" s="7"/>
    </row>
    <row r="20" spans="3:11" x14ac:dyDescent="0.25">
      <c r="C20" s="5"/>
      <c r="D20" s="6"/>
      <c r="E20" s="6"/>
      <c r="F20" s="6"/>
      <c r="G20" s="6"/>
      <c r="H20" s="6"/>
      <c r="I20" s="6"/>
      <c r="J20" s="6"/>
      <c r="K20" s="7"/>
    </row>
    <row r="21" spans="3:11" x14ac:dyDescent="0.25">
      <c r="C21" s="5"/>
      <c r="D21" s="6"/>
      <c r="E21" s="6"/>
      <c r="F21" s="6"/>
      <c r="G21" s="6"/>
      <c r="H21" s="6"/>
      <c r="I21" s="6"/>
      <c r="J21" s="6"/>
      <c r="K21" s="7"/>
    </row>
    <row r="22" spans="3:11" x14ac:dyDescent="0.25">
      <c r="C22" s="5"/>
      <c r="D22" s="6"/>
      <c r="E22" s="6"/>
      <c r="F22" s="6"/>
      <c r="G22" s="6"/>
      <c r="H22" s="6"/>
      <c r="I22" s="6"/>
      <c r="J22" s="6"/>
      <c r="K22" s="7"/>
    </row>
    <row r="23" spans="3:11" x14ac:dyDescent="0.25">
      <c r="C23" s="5"/>
      <c r="D23" s="6"/>
      <c r="E23" s="6"/>
      <c r="F23" s="6"/>
      <c r="G23" s="6"/>
      <c r="H23" s="6"/>
      <c r="I23" s="6"/>
      <c r="J23" s="6"/>
      <c r="K23" s="7"/>
    </row>
    <row r="24" spans="3:11" x14ac:dyDescent="0.25">
      <c r="C24" s="5"/>
      <c r="D24" s="6"/>
      <c r="E24" s="6"/>
      <c r="F24" s="6"/>
      <c r="G24" s="6"/>
      <c r="H24" s="6"/>
      <c r="I24" s="6"/>
      <c r="J24" s="6"/>
      <c r="K24" s="7"/>
    </row>
    <row r="25" spans="3:11" x14ac:dyDescent="0.25">
      <c r="C25" s="5"/>
      <c r="D25" s="6"/>
      <c r="E25" s="6"/>
      <c r="F25" s="6"/>
      <c r="G25" s="6"/>
      <c r="H25" s="6"/>
      <c r="I25" s="6"/>
      <c r="J25" s="6"/>
      <c r="K25" s="7"/>
    </row>
    <row r="26" spans="3:11" x14ac:dyDescent="0.25">
      <c r="C26" s="5"/>
      <c r="D26" s="6"/>
      <c r="E26" s="6"/>
      <c r="F26" s="6"/>
      <c r="G26" s="6"/>
      <c r="H26" s="6"/>
      <c r="I26" s="6"/>
      <c r="J26" s="6"/>
      <c r="K26" s="7"/>
    </row>
    <row r="27" spans="3:11" x14ac:dyDescent="0.25">
      <c r="C27" s="5"/>
      <c r="D27" s="6"/>
      <c r="E27" s="6"/>
      <c r="F27" s="6"/>
      <c r="G27" s="6"/>
      <c r="H27" s="6"/>
      <c r="I27" s="6"/>
      <c r="J27" s="6"/>
      <c r="K27" s="7"/>
    </row>
    <row r="28" spans="3:11" ht="15.75" thickBot="1" x14ac:dyDescent="0.3">
      <c r="C28" s="8"/>
      <c r="D28" s="9"/>
      <c r="E28" s="9"/>
      <c r="F28" s="9"/>
      <c r="G28" s="9"/>
      <c r="H28" s="9"/>
      <c r="I28" s="9"/>
      <c r="J28" s="9"/>
      <c r="K28" s="10"/>
    </row>
    <row r="29" spans="3:11" ht="24" customHeight="1" x14ac:dyDescent="0.25">
      <c r="E29" s="25" t="s">
        <v>44</v>
      </c>
      <c r="F29" s="26"/>
      <c r="G29" s="26"/>
      <c r="H29" s="26"/>
      <c r="I29" s="27"/>
    </row>
    <row r="30" spans="3:11" x14ac:dyDescent="0.25">
      <c r="E30" s="28"/>
      <c r="F30" s="29"/>
      <c r="G30" s="29"/>
      <c r="H30" s="29"/>
      <c r="I30" s="30"/>
    </row>
    <row r="31" spans="3:11" ht="15.75" thickBot="1" x14ac:dyDescent="0.3">
      <c r="E31" s="31"/>
      <c r="F31" s="32"/>
      <c r="G31" s="32"/>
      <c r="H31" s="32"/>
      <c r="I31" s="33"/>
    </row>
    <row r="32" spans="3:11" x14ac:dyDescent="0.25">
      <c r="C32" s="2"/>
      <c r="D32" s="3"/>
      <c r="E32" s="3"/>
      <c r="F32" s="3"/>
      <c r="G32" s="3"/>
      <c r="H32" s="3"/>
      <c r="I32" s="3"/>
      <c r="J32" s="3"/>
      <c r="K32" s="4"/>
    </row>
    <row r="33" spans="3:11" ht="15" customHeight="1" x14ac:dyDescent="0.25">
      <c r="C33" s="5"/>
      <c r="D33" s="6"/>
      <c r="E33" s="6"/>
      <c r="F33" s="6"/>
      <c r="G33" s="6"/>
      <c r="H33" s="6"/>
      <c r="I33" s="6"/>
      <c r="J33" s="6"/>
      <c r="K33" s="7"/>
    </row>
    <row r="34" spans="3:11" x14ac:dyDescent="0.25">
      <c r="C34" s="5"/>
      <c r="D34" s="6"/>
      <c r="E34" s="6"/>
      <c r="F34" s="6"/>
      <c r="G34" s="6"/>
      <c r="H34" s="6"/>
      <c r="I34" s="6"/>
      <c r="J34" s="6"/>
      <c r="K34" s="7"/>
    </row>
    <row r="35" spans="3:11" x14ac:dyDescent="0.25">
      <c r="C35" s="5"/>
      <c r="D35" s="6"/>
      <c r="E35" s="6"/>
      <c r="F35" s="6"/>
      <c r="G35" s="6"/>
      <c r="H35" s="6"/>
      <c r="I35" s="6"/>
      <c r="J35" s="6"/>
      <c r="K35" s="7"/>
    </row>
    <row r="36" spans="3:11" x14ac:dyDescent="0.25">
      <c r="C36" s="5"/>
      <c r="D36" s="6"/>
      <c r="E36" s="6"/>
      <c r="F36" s="6"/>
      <c r="G36" s="6"/>
      <c r="H36" s="6"/>
      <c r="I36" s="6"/>
      <c r="J36" s="6"/>
      <c r="K36" s="7"/>
    </row>
    <row r="37" spans="3:11" x14ac:dyDescent="0.25">
      <c r="C37" s="5"/>
      <c r="D37" s="6"/>
      <c r="E37" s="6"/>
      <c r="F37" s="6"/>
      <c r="G37" s="6"/>
      <c r="H37" s="6"/>
      <c r="I37" s="6"/>
      <c r="J37" s="6"/>
      <c r="K37" s="7"/>
    </row>
    <row r="38" spans="3:11" x14ac:dyDescent="0.25">
      <c r="C38" s="5"/>
      <c r="D38" s="6"/>
      <c r="E38" s="6"/>
      <c r="F38" s="6"/>
      <c r="G38" s="6"/>
      <c r="H38" s="6"/>
      <c r="I38" s="6"/>
      <c r="J38" s="6"/>
      <c r="K38" s="7"/>
    </row>
    <row r="39" spans="3:11" x14ac:dyDescent="0.25">
      <c r="C39" s="5"/>
      <c r="D39" s="6"/>
      <c r="E39" s="6"/>
      <c r="F39" s="6"/>
      <c r="G39" s="6"/>
      <c r="H39" s="6"/>
      <c r="I39" s="6"/>
      <c r="J39" s="6"/>
      <c r="K39" s="7"/>
    </row>
    <row r="40" spans="3:11" x14ac:dyDescent="0.25">
      <c r="C40" s="5"/>
      <c r="D40" s="6"/>
      <c r="E40" s="6"/>
      <c r="F40" s="6"/>
      <c r="G40" s="6"/>
      <c r="H40" s="6"/>
      <c r="I40" s="6"/>
      <c r="J40" s="6"/>
      <c r="K40" s="7"/>
    </row>
    <row r="41" spans="3:11" x14ac:dyDescent="0.25">
      <c r="C41" s="5"/>
      <c r="D41" s="6"/>
      <c r="E41" s="6"/>
      <c r="F41" s="6"/>
      <c r="G41" s="6"/>
      <c r="H41" s="6"/>
      <c r="I41" s="6"/>
      <c r="J41" s="6"/>
      <c r="K41" s="7"/>
    </row>
    <row r="42" spans="3:11" x14ac:dyDescent="0.25">
      <c r="C42" s="5"/>
      <c r="D42" s="6"/>
      <c r="E42" s="6"/>
      <c r="F42" s="6"/>
      <c r="G42" s="6"/>
      <c r="H42" s="6"/>
      <c r="I42" s="6"/>
      <c r="J42" s="6"/>
      <c r="K42" s="7"/>
    </row>
    <row r="43" spans="3:11" x14ac:dyDescent="0.25">
      <c r="C43" s="5"/>
      <c r="D43" s="6"/>
      <c r="E43" s="6"/>
      <c r="F43" s="6"/>
      <c r="G43" s="6"/>
      <c r="H43" s="6"/>
      <c r="I43" s="6"/>
      <c r="J43" s="6"/>
      <c r="K43" s="7"/>
    </row>
    <row r="44" spans="3:11" x14ac:dyDescent="0.25">
      <c r="C44" s="5"/>
      <c r="D44" s="6"/>
      <c r="E44" s="6"/>
      <c r="F44" s="6"/>
      <c r="G44" s="6"/>
      <c r="H44" s="6"/>
      <c r="I44" s="6"/>
      <c r="J44" s="6"/>
      <c r="K44" s="7"/>
    </row>
    <row r="45" spans="3:11" x14ac:dyDescent="0.25">
      <c r="C45" s="5"/>
      <c r="D45" s="6"/>
      <c r="E45" s="6"/>
      <c r="F45" s="6"/>
      <c r="G45" s="6"/>
      <c r="H45" s="6"/>
      <c r="I45" s="6"/>
      <c r="J45" s="6"/>
      <c r="K45" s="7"/>
    </row>
    <row r="46" spans="3:11" x14ac:dyDescent="0.25">
      <c r="C46" s="5"/>
      <c r="D46" s="6"/>
      <c r="E46" s="6"/>
      <c r="F46" s="6"/>
      <c r="G46" s="6"/>
      <c r="H46" s="6"/>
      <c r="I46" s="6"/>
      <c r="J46" s="6"/>
      <c r="K46" s="7"/>
    </row>
    <row r="47" spans="3:11" x14ac:dyDescent="0.25">
      <c r="C47" s="5"/>
      <c r="D47" s="6"/>
      <c r="E47" s="6"/>
      <c r="F47" s="6"/>
      <c r="G47" s="6"/>
      <c r="H47" s="6"/>
      <c r="I47" s="6"/>
      <c r="J47" s="6"/>
      <c r="K47" s="7"/>
    </row>
    <row r="48" spans="3:11" x14ac:dyDescent="0.25">
      <c r="C48" s="5"/>
      <c r="D48" s="6"/>
      <c r="E48" s="6"/>
      <c r="F48" s="6"/>
      <c r="G48" s="6"/>
      <c r="H48" s="6"/>
      <c r="I48" s="6"/>
      <c r="J48" s="6"/>
      <c r="K48" s="7"/>
    </row>
    <row r="49" spans="3:11" x14ac:dyDescent="0.25">
      <c r="C49" s="5"/>
      <c r="D49" s="6"/>
      <c r="E49" s="6"/>
      <c r="F49" s="6"/>
      <c r="G49" s="6"/>
      <c r="H49" s="6"/>
      <c r="I49" s="6"/>
      <c r="J49" s="6"/>
      <c r="K49" s="7"/>
    </row>
    <row r="50" spans="3:11" x14ac:dyDescent="0.25">
      <c r="C50" s="5"/>
      <c r="D50" s="6"/>
      <c r="E50" s="6"/>
      <c r="F50" s="6"/>
      <c r="G50" s="6"/>
      <c r="H50" s="6"/>
      <c r="I50" s="6"/>
      <c r="J50" s="6"/>
      <c r="K50" s="7"/>
    </row>
    <row r="51" spans="3:11" x14ac:dyDescent="0.25">
      <c r="C51" s="5"/>
      <c r="D51" s="6"/>
      <c r="E51" s="6"/>
      <c r="F51" s="6"/>
      <c r="G51" s="6"/>
      <c r="H51" s="6"/>
      <c r="I51" s="6"/>
      <c r="J51" s="6"/>
      <c r="K51" s="7"/>
    </row>
    <row r="52" spans="3:11" x14ac:dyDescent="0.25">
      <c r="C52" s="5"/>
      <c r="D52" s="6"/>
      <c r="E52" s="6"/>
      <c r="F52" s="6"/>
      <c r="G52" s="6"/>
      <c r="H52" s="6"/>
      <c r="I52" s="6"/>
      <c r="J52" s="6"/>
      <c r="K52" s="7"/>
    </row>
    <row r="53" spans="3:11" ht="15.75" thickBot="1" x14ac:dyDescent="0.3">
      <c r="C53" s="8"/>
      <c r="D53" s="9"/>
      <c r="E53" s="9"/>
      <c r="F53" s="9"/>
      <c r="G53" s="9"/>
      <c r="H53" s="9"/>
      <c r="I53" s="9"/>
      <c r="J53" s="9"/>
      <c r="K53" s="10"/>
    </row>
  </sheetData>
  <mergeCells count="2">
    <mergeCell ref="E4:I6"/>
    <mergeCell ref="E29:I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W68"/>
  <sheetViews>
    <sheetView zoomScaleNormal="100" workbookViewId="0">
      <selection activeCell="I51" sqref="I51"/>
    </sheetView>
  </sheetViews>
  <sheetFormatPr defaultRowHeight="15" x14ac:dyDescent="0.25"/>
  <cols>
    <col min="1" max="2" width="9.140625" style="1"/>
    <col min="3" max="3" width="10" style="1" bestFit="1" customWidth="1"/>
    <col min="4" max="10" width="9.140625" style="1"/>
    <col min="11" max="12" width="11" style="1" bestFit="1" customWidth="1"/>
    <col min="13" max="16384" width="9.140625" style="1"/>
  </cols>
  <sheetData>
    <row r="4" spans="2:23" ht="15.75" thickBot="1" x14ac:dyDescent="0.3"/>
    <row r="5" spans="2:23" x14ac:dyDescent="0.25">
      <c r="B5" s="11"/>
      <c r="C5" s="19" t="s">
        <v>0</v>
      </c>
      <c r="D5" s="16"/>
      <c r="E5" s="11"/>
      <c r="F5" s="19" t="s">
        <v>2</v>
      </c>
      <c r="G5" s="16"/>
      <c r="H5" s="11"/>
      <c r="I5" s="19" t="s">
        <v>1</v>
      </c>
      <c r="J5" s="16"/>
      <c r="K5" s="11"/>
      <c r="L5" s="19" t="s">
        <v>5</v>
      </c>
      <c r="M5" s="16"/>
      <c r="N5" s="11"/>
      <c r="O5" s="19" t="s">
        <v>6</v>
      </c>
      <c r="P5" s="16"/>
      <c r="Q5" s="11"/>
      <c r="R5" s="19" t="s">
        <v>7</v>
      </c>
      <c r="S5" s="16"/>
      <c r="T5" s="11"/>
      <c r="U5" s="19" t="s">
        <v>8</v>
      </c>
    </row>
    <row r="6" spans="2:23" x14ac:dyDescent="0.25">
      <c r="B6" s="12" t="s">
        <v>3</v>
      </c>
      <c r="C6" s="13" t="s">
        <v>4</v>
      </c>
      <c r="D6" s="17"/>
      <c r="E6" s="12" t="s">
        <v>3</v>
      </c>
      <c r="F6" s="13" t="s">
        <v>4</v>
      </c>
      <c r="G6" s="17"/>
      <c r="H6" s="12" t="s">
        <v>3</v>
      </c>
      <c r="I6" s="13" t="s">
        <v>4</v>
      </c>
      <c r="J6" s="17"/>
      <c r="K6" s="12" t="s">
        <v>3</v>
      </c>
      <c r="L6" s="13" t="s">
        <v>4</v>
      </c>
      <c r="M6" s="17"/>
      <c r="N6" s="12" t="s">
        <v>3</v>
      </c>
      <c r="O6" s="13" t="s">
        <v>4</v>
      </c>
      <c r="P6" s="17"/>
      <c r="Q6" s="12" t="s">
        <v>3</v>
      </c>
      <c r="R6" s="13" t="s">
        <v>4</v>
      </c>
      <c r="S6" s="17"/>
      <c r="T6" s="12" t="s">
        <v>3</v>
      </c>
      <c r="U6" s="13" t="s">
        <v>4</v>
      </c>
    </row>
    <row r="7" spans="2:23" x14ac:dyDescent="0.25">
      <c r="B7" s="12">
        <v>0</v>
      </c>
      <c r="C7" s="13">
        <v>0</v>
      </c>
      <c r="D7" s="17"/>
      <c r="E7" s="12">
        <v>0</v>
      </c>
      <c r="F7" s="13">
        <v>4</v>
      </c>
      <c r="G7" s="17"/>
      <c r="H7" s="12">
        <v>0</v>
      </c>
      <c r="I7" s="13">
        <v>-30</v>
      </c>
      <c r="J7" s="17"/>
      <c r="K7" s="12">
        <v>0</v>
      </c>
      <c r="L7" s="13">
        <v>15</v>
      </c>
      <c r="M7" s="17"/>
      <c r="N7" s="12">
        <v>0</v>
      </c>
      <c r="O7" s="13">
        <v>17</v>
      </c>
      <c r="P7" s="17"/>
      <c r="Q7" s="12">
        <v>0</v>
      </c>
      <c r="R7" s="13">
        <v>5</v>
      </c>
      <c r="S7" s="17"/>
      <c r="T7" s="12">
        <v>0</v>
      </c>
      <c r="U7" s="13">
        <v>5</v>
      </c>
    </row>
    <row r="8" spans="2:23" ht="15.75" thickBot="1" x14ac:dyDescent="0.3">
      <c r="B8" s="14">
        <v>700</v>
      </c>
      <c r="C8" s="15">
        <v>5</v>
      </c>
      <c r="D8" s="18"/>
      <c r="E8" s="14">
        <v>660</v>
      </c>
      <c r="F8" s="15">
        <v>5</v>
      </c>
      <c r="G8" s="18"/>
      <c r="H8" s="14">
        <v>600</v>
      </c>
      <c r="I8" s="15">
        <v>5</v>
      </c>
      <c r="J8" s="18"/>
      <c r="K8" s="14">
        <v>600</v>
      </c>
      <c r="L8" s="15">
        <v>15</v>
      </c>
      <c r="M8" s="18"/>
      <c r="N8" s="14">
        <v>420</v>
      </c>
      <c r="O8" s="15">
        <v>27</v>
      </c>
      <c r="P8" s="18"/>
      <c r="Q8" s="14">
        <v>290</v>
      </c>
      <c r="R8" s="15">
        <v>27</v>
      </c>
      <c r="S8" s="18"/>
      <c r="T8" s="14">
        <v>177</v>
      </c>
      <c r="U8" s="15">
        <v>27</v>
      </c>
    </row>
    <row r="9" spans="2:23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3" ht="15.75" thickBot="1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3" x14ac:dyDescent="0.25">
      <c r="B12" s="11"/>
      <c r="C12" s="19" t="s">
        <v>9</v>
      </c>
      <c r="E12" s="11"/>
      <c r="F12" s="19" t="s">
        <v>10</v>
      </c>
      <c r="H12" s="6"/>
      <c r="I12" s="34"/>
    </row>
    <row r="13" spans="2:23" x14ac:dyDescent="0.25">
      <c r="B13" s="12" t="s">
        <v>3</v>
      </c>
      <c r="C13" s="13" t="s">
        <v>4</v>
      </c>
      <c r="E13" s="12" t="s">
        <v>3</v>
      </c>
      <c r="F13" s="13" t="s">
        <v>4</v>
      </c>
      <c r="H13" s="6"/>
      <c r="I13" s="6"/>
    </row>
    <row r="14" spans="2:23" x14ac:dyDescent="0.25">
      <c r="B14" s="12">
        <v>0</v>
      </c>
      <c r="C14" s="13">
        <v>5</v>
      </c>
      <c r="E14" s="12">
        <v>0</v>
      </c>
      <c r="F14" s="13">
        <v>27</v>
      </c>
      <c r="H14" s="6"/>
      <c r="I14" s="6"/>
    </row>
    <row r="15" spans="2:23" x14ac:dyDescent="0.25">
      <c r="B15" s="12">
        <v>600</v>
      </c>
      <c r="C15" s="13">
        <v>7</v>
      </c>
      <c r="E15" s="12">
        <v>1640</v>
      </c>
      <c r="F15" s="13">
        <v>33</v>
      </c>
      <c r="H15" s="6"/>
      <c r="I15" s="6"/>
    </row>
    <row r="16" spans="2:23" x14ac:dyDescent="0.25">
      <c r="B16" s="12">
        <v>890</v>
      </c>
      <c r="C16" s="13">
        <v>17</v>
      </c>
      <c r="E16" s="12">
        <v>3885</v>
      </c>
      <c r="F16" s="13">
        <v>24</v>
      </c>
      <c r="H16" s="6"/>
      <c r="I16" s="6"/>
    </row>
    <row r="17" spans="2:21" x14ac:dyDescent="0.25">
      <c r="B17" s="12">
        <v>1322</v>
      </c>
      <c r="C17" s="13">
        <v>17</v>
      </c>
      <c r="E17" s="12">
        <v>5312</v>
      </c>
      <c r="F17" s="13">
        <v>12</v>
      </c>
      <c r="H17" s="6"/>
      <c r="I17" s="6"/>
    </row>
    <row r="18" spans="2:21" ht="15.75" thickBot="1" x14ac:dyDescent="0.3">
      <c r="B18" s="14">
        <v>2824</v>
      </c>
      <c r="C18" s="15">
        <v>15</v>
      </c>
      <c r="E18" s="14">
        <v>8057</v>
      </c>
      <c r="F18" s="15">
        <v>15</v>
      </c>
      <c r="H18" s="6"/>
      <c r="I18" s="6"/>
    </row>
    <row r="19" spans="2:21" x14ac:dyDescent="0.25">
      <c r="H19" s="6"/>
      <c r="I19" s="6"/>
    </row>
    <row r="20" spans="2:21" x14ac:dyDescent="0.25">
      <c r="H20" s="6"/>
      <c r="I20" s="6"/>
    </row>
    <row r="23" spans="2:21" ht="15.75" thickBot="1" x14ac:dyDescent="0.3"/>
    <row r="24" spans="2:21" x14ac:dyDescent="0.25">
      <c r="B24" s="11"/>
      <c r="C24" s="19" t="s">
        <v>11</v>
      </c>
      <c r="E24" s="11"/>
      <c r="F24" s="19" t="s">
        <v>14</v>
      </c>
      <c r="H24" s="11"/>
      <c r="I24" s="19" t="s">
        <v>15</v>
      </c>
      <c r="K24" s="11"/>
      <c r="L24" s="19" t="s">
        <v>16</v>
      </c>
      <c r="N24" s="11"/>
      <c r="O24" s="19" t="s">
        <v>17</v>
      </c>
      <c r="Q24" s="11"/>
      <c r="R24" s="19" t="s">
        <v>18</v>
      </c>
      <c r="T24" s="11"/>
      <c r="U24" s="19" t="s">
        <v>19</v>
      </c>
    </row>
    <row r="25" spans="2:21" x14ac:dyDescent="0.25">
      <c r="B25" s="12" t="s">
        <v>12</v>
      </c>
      <c r="C25" s="13" t="s">
        <v>13</v>
      </c>
      <c r="E25" s="12" t="s">
        <v>12</v>
      </c>
      <c r="F25" s="13" t="s">
        <v>13</v>
      </c>
      <c r="H25" s="12" t="s">
        <v>12</v>
      </c>
      <c r="I25" s="13" t="s">
        <v>13</v>
      </c>
      <c r="K25" s="12" t="s">
        <v>12</v>
      </c>
      <c r="L25" s="13" t="s">
        <v>13</v>
      </c>
      <c r="N25" s="12" t="s">
        <v>12</v>
      </c>
      <c r="O25" s="13" t="s">
        <v>13</v>
      </c>
      <c r="Q25" s="12" t="s">
        <v>12</v>
      </c>
      <c r="R25" s="13" t="s">
        <v>13</v>
      </c>
      <c r="T25" s="12" t="s">
        <v>12</v>
      </c>
      <c r="U25" s="13" t="s">
        <v>13</v>
      </c>
    </row>
    <row r="26" spans="2:21" x14ac:dyDescent="0.25">
      <c r="B26" s="20">
        <v>0</v>
      </c>
      <c r="C26" s="21">
        <v>0</v>
      </c>
      <c r="E26" s="20">
        <v>0</v>
      </c>
      <c r="F26" s="21">
        <v>0</v>
      </c>
      <c r="H26" s="20">
        <v>0</v>
      </c>
      <c r="I26" s="21">
        <v>0</v>
      </c>
      <c r="K26" s="20">
        <v>0</v>
      </c>
      <c r="L26" s="21">
        <v>0</v>
      </c>
      <c r="N26" s="20">
        <v>0</v>
      </c>
      <c r="O26" s="21">
        <v>0</v>
      </c>
      <c r="Q26" s="20">
        <v>0</v>
      </c>
      <c r="R26" s="21">
        <v>0</v>
      </c>
      <c r="T26" s="20">
        <v>0</v>
      </c>
      <c r="U26" s="21">
        <v>0</v>
      </c>
    </row>
    <row r="27" spans="2:21" x14ac:dyDescent="0.25">
      <c r="B27" s="20">
        <v>1100</v>
      </c>
      <c r="C27" s="21">
        <v>1100</v>
      </c>
      <c r="E27" s="20">
        <v>1100</v>
      </c>
      <c r="F27" s="21">
        <v>1100</v>
      </c>
      <c r="H27" s="20">
        <v>1100</v>
      </c>
      <c r="I27" s="21">
        <v>1100</v>
      </c>
      <c r="K27" s="20">
        <v>1100</v>
      </c>
      <c r="L27" s="21">
        <v>1100</v>
      </c>
      <c r="N27" s="20">
        <v>1100</v>
      </c>
      <c r="O27" s="21">
        <v>1100</v>
      </c>
      <c r="Q27" s="20">
        <v>1100</v>
      </c>
      <c r="R27" s="21">
        <v>1100</v>
      </c>
      <c r="T27" s="20">
        <v>1100</v>
      </c>
      <c r="U27" s="21">
        <v>1100</v>
      </c>
    </row>
    <row r="28" spans="2:21" x14ac:dyDescent="0.25">
      <c r="B28" s="20">
        <v>2000</v>
      </c>
      <c r="C28" s="21">
        <v>1990</v>
      </c>
      <c r="E28" s="20">
        <v>2000</v>
      </c>
      <c r="F28" s="21">
        <v>1990</v>
      </c>
      <c r="H28" s="20">
        <v>2000</v>
      </c>
      <c r="I28" s="21">
        <v>1990</v>
      </c>
      <c r="K28" s="20">
        <v>2000</v>
      </c>
      <c r="L28" s="21">
        <v>1990</v>
      </c>
      <c r="N28" s="20">
        <v>2000</v>
      </c>
      <c r="O28" s="21">
        <v>1990</v>
      </c>
      <c r="Q28" s="20">
        <v>2000</v>
      </c>
      <c r="R28" s="21">
        <v>1990</v>
      </c>
      <c r="T28" s="20">
        <v>2000</v>
      </c>
      <c r="U28" s="21">
        <v>1990</v>
      </c>
    </row>
    <row r="29" spans="2:21" x14ac:dyDescent="0.25">
      <c r="B29" s="20">
        <v>3000</v>
      </c>
      <c r="C29" s="21">
        <v>2950</v>
      </c>
      <c r="E29" s="20">
        <v>3000</v>
      </c>
      <c r="F29" s="21">
        <v>2950</v>
      </c>
      <c r="H29" s="20">
        <v>3000</v>
      </c>
      <c r="I29" s="21">
        <v>2950</v>
      </c>
      <c r="K29" s="20">
        <v>3000</v>
      </c>
      <c r="L29" s="21">
        <v>2950</v>
      </c>
      <c r="N29" s="20">
        <v>3000</v>
      </c>
      <c r="O29" s="21">
        <v>2950</v>
      </c>
      <c r="Q29" s="20">
        <v>3000</v>
      </c>
      <c r="R29" s="21">
        <v>2950</v>
      </c>
      <c r="T29" s="20">
        <v>3000</v>
      </c>
      <c r="U29" s="21">
        <v>2950</v>
      </c>
    </row>
    <row r="30" spans="2:21" x14ac:dyDescent="0.25">
      <c r="B30" s="20">
        <v>4000</v>
      </c>
      <c r="C30" s="21">
        <v>3850</v>
      </c>
      <c r="E30" s="20">
        <v>4000</v>
      </c>
      <c r="F30" s="21">
        <v>3850</v>
      </c>
      <c r="H30" s="20">
        <v>4000</v>
      </c>
      <c r="I30" s="21">
        <v>3850</v>
      </c>
      <c r="K30" s="20">
        <v>4000</v>
      </c>
      <c r="L30" s="21">
        <v>3850</v>
      </c>
      <c r="N30" s="20">
        <v>4000</v>
      </c>
      <c r="O30" s="21">
        <v>3850</v>
      </c>
      <c r="Q30" s="20">
        <v>4000</v>
      </c>
      <c r="R30" s="21">
        <v>3850</v>
      </c>
      <c r="T30" s="20">
        <v>4000</v>
      </c>
      <c r="U30" s="21">
        <v>3850</v>
      </c>
    </row>
    <row r="31" spans="2:21" x14ac:dyDescent="0.25">
      <c r="B31" s="20">
        <v>5000</v>
      </c>
      <c r="C31" s="21">
        <v>4650</v>
      </c>
      <c r="E31" s="20">
        <v>5000</v>
      </c>
      <c r="F31" s="21">
        <v>4650</v>
      </c>
      <c r="H31" s="20">
        <v>5000</v>
      </c>
      <c r="I31" s="21">
        <v>4650</v>
      </c>
      <c r="K31" s="20">
        <v>5000</v>
      </c>
      <c r="L31" s="21">
        <v>4650</v>
      </c>
      <c r="N31" s="20">
        <v>5000</v>
      </c>
      <c r="O31" s="21">
        <v>4650</v>
      </c>
      <c r="Q31" s="20">
        <v>5000</v>
      </c>
      <c r="R31" s="21">
        <v>4650</v>
      </c>
      <c r="T31" s="20">
        <v>5000</v>
      </c>
      <c r="U31" s="21">
        <v>4650</v>
      </c>
    </row>
    <row r="32" spans="2:21" x14ac:dyDescent="0.25">
      <c r="B32" s="20">
        <v>5950</v>
      </c>
      <c r="C32" s="21">
        <v>5400</v>
      </c>
      <c r="E32" s="20">
        <v>5950</v>
      </c>
      <c r="F32" s="21">
        <v>5400</v>
      </c>
      <c r="H32" s="20">
        <v>5950</v>
      </c>
      <c r="I32" s="21">
        <v>5400</v>
      </c>
      <c r="K32" s="20">
        <v>5950</v>
      </c>
      <c r="L32" s="21">
        <v>5400</v>
      </c>
      <c r="N32" s="20">
        <v>5950</v>
      </c>
      <c r="O32" s="21">
        <v>5400</v>
      </c>
      <c r="Q32" s="20">
        <v>5950</v>
      </c>
      <c r="R32" s="21">
        <v>5400</v>
      </c>
      <c r="T32" s="20">
        <v>5950</v>
      </c>
      <c r="U32" s="21">
        <v>5400</v>
      </c>
    </row>
    <row r="33" spans="2:21" ht="15.75" thickBot="1" x14ac:dyDescent="0.3">
      <c r="B33" s="22">
        <v>6750</v>
      </c>
      <c r="C33" s="23">
        <v>5990</v>
      </c>
      <c r="E33" s="22">
        <v>7140</v>
      </c>
      <c r="F33" s="23">
        <v>6070</v>
      </c>
      <c r="H33" s="22">
        <v>6850</v>
      </c>
      <c r="I33" s="23">
        <v>6000</v>
      </c>
      <c r="K33" s="22">
        <v>6550</v>
      </c>
      <c r="L33" s="23">
        <v>5870</v>
      </c>
      <c r="N33" s="22">
        <v>6330</v>
      </c>
      <c r="O33" s="23">
        <v>5710</v>
      </c>
      <c r="Q33" s="22">
        <v>6390</v>
      </c>
      <c r="R33" s="23">
        <v>5750</v>
      </c>
      <c r="T33" s="22">
        <v>6360</v>
      </c>
      <c r="U33" s="23">
        <v>5740</v>
      </c>
    </row>
    <row r="36" spans="2:21" ht="15.75" thickBot="1" x14ac:dyDescent="0.3">
      <c r="B36" s="35"/>
      <c r="C36" s="35"/>
    </row>
    <row r="37" spans="2:21" x14ac:dyDescent="0.25">
      <c r="B37" s="11"/>
      <c r="C37" s="19" t="s">
        <v>57</v>
      </c>
    </row>
    <row r="38" spans="2:21" x14ac:dyDescent="0.25">
      <c r="B38" s="12" t="s">
        <v>3</v>
      </c>
      <c r="C38" s="13" t="s">
        <v>4</v>
      </c>
    </row>
    <row r="39" spans="2:21" x14ac:dyDescent="0.25">
      <c r="B39" s="20">
        <v>0</v>
      </c>
      <c r="C39" s="13">
        <v>15</v>
      </c>
    </row>
    <row r="40" spans="2:21" x14ac:dyDescent="0.25">
      <c r="B40" s="20">
        <v>610</v>
      </c>
      <c r="C40" s="13">
        <v>14</v>
      </c>
    </row>
    <row r="41" spans="2:21" x14ac:dyDescent="0.25">
      <c r="B41" s="20">
        <v>954</v>
      </c>
      <c r="C41" s="13">
        <v>24</v>
      </c>
    </row>
    <row r="42" spans="2:21" x14ac:dyDescent="0.25">
      <c r="B42" s="20">
        <v>1447</v>
      </c>
      <c r="C42" s="13">
        <v>12</v>
      </c>
    </row>
    <row r="43" spans="2:21" x14ac:dyDescent="0.25">
      <c r="B43" s="20">
        <v>2329</v>
      </c>
      <c r="C43" s="13">
        <v>15</v>
      </c>
    </row>
    <row r="44" spans="2:21" x14ac:dyDescent="0.25">
      <c r="B44" s="20">
        <v>5761</v>
      </c>
      <c r="C44" s="13">
        <v>2</v>
      </c>
    </row>
    <row r="45" spans="2:21" x14ac:dyDescent="0.25">
      <c r="B45" s="20">
        <v>9751</v>
      </c>
      <c r="C45" s="13">
        <v>22</v>
      </c>
    </row>
    <row r="46" spans="2:21" x14ac:dyDescent="0.25">
      <c r="B46" s="20">
        <v>22139</v>
      </c>
      <c r="C46" s="13">
        <v>200</v>
      </c>
    </row>
    <row r="47" spans="2:21" x14ac:dyDescent="0.25">
      <c r="B47" s="20">
        <v>28876</v>
      </c>
      <c r="C47" s="13">
        <v>100</v>
      </c>
    </row>
    <row r="48" spans="2:21" x14ac:dyDescent="0.25">
      <c r="B48" s="20">
        <v>32176</v>
      </c>
      <c r="C48" s="13">
        <v>45</v>
      </c>
    </row>
    <row r="49" spans="2:3" x14ac:dyDescent="0.25">
      <c r="B49" s="20">
        <v>39125</v>
      </c>
      <c r="C49" s="13">
        <v>37</v>
      </c>
    </row>
    <row r="50" spans="2:3" x14ac:dyDescent="0.25">
      <c r="B50" s="20">
        <v>46594</v>
      </c>
      <c r="C50" s="13">
        <v>0</v>
      </c>
    </row>
    <row r="51" spans="2:3" x14ac:dyDescent="0.25">
      <c r="B51" s="20">
        <v>46594</v>
      </c>
      <c r="C51" s="13">
        <v>3000</v>
      </c>
    </row>
    <row r="52" spans="2:3" ht="15.75" thickBot="1" x14ac:dyDescent="0.3">
      <c r="B52" s="22">
        <v>46617</v>
      </c>
      <c r="C52" s="15">
        <v>3000</v>
      </c>
    </row>
    <row r="68" spans="11:11" x14ac:dyDescent="0.25">
      <c r="K68" s="1">
        <f>9000*0.052*8.3</f>
        <v>3884.4000000000005</v>
      </c>
    </row>
  </sheetData>
  <mergeCells count="1">
    <mergeCell ref="B36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9"/>
  <sheetViews>
    <sheetView tabSelected="1" workbookViewId="0">
      <selection activeCell="D7" sqref="D7"/>
    </sheetView>
  </sheetViews>
  <sheetFormatPr defaultRowHeight="15" x14ac:dyDescent="0.25"/>
  <sheetData>
    <row r="3" spans="4:10" x14ac:dyDescent="0.25">
      <c r="D3" t="s">
        <v>45</v>
      </c>
      <c r="G3">
        <v>5000</v>
      </c>
      <c r="H3" t="s">
        <v>53</v>
      </c>
    </row>
    <row r="4" spans="4:10" x14ac:dyDescent="0.25">
      <c r="D4" t="s">
        <v>49</v>
      </c>
      <c r="F4">
        <v>100</v>
      </c>
      <c r="G4" t="s">
        <v>52</v>
      </c>
    </row>
    <row r="5" spans="4:10" x14ac:dyDescent="0.25">
      <c r="D5" t="s">
        <v>48</v>
      </c>
      <c r="G5">
        <v>100</v>
      </c>
      <c r="H5" t="s">
        <v>51</v>
      </c>
    </row>
    <row r="6" spans="4:10" x14ac:dyDescent="0.25">
      <c r="D6" t="s">
        <v>46</v>
      </c>
      <c r="I6">
        <v>2</v>
      </c>
      <c r="J6" t="s">
        <v>54</v>
      </c>
    </row>
    <row r="7" spans="4:10" x14ac:dyDescent="0.25">
      <c r="D7" t="s">
        <v>47</v>
      </c>
      <c r="I7">
        <v>0.2</v>
      </c>
      <c r="J7" t="s">
        <v>55</v>
      </c>
    </row>
    <row r="8" spans="4:10" x14ac:dyDescent="0.25">
      <c r="D8" t="s">
        <v>50</v>
      </c>
      <c r="G8">
        <v>50</v>
      </c>
      <c r="H8" t="s">
        <v>23</v>
      </c>
    </row>
    <row r="9" spans="4:10" x14ac:dyDescent="0.25">
      <c r="D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Reservoir Data</vt:lpstr>
      <vt:lpstr>Schematic</vt:lpstr>
      <vt:lpstr>Geometry data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Roullier, David</dc:creator>
  <cp:lastModifiedBy>Akhiiartdinov, Anvar</cp:lastModifiedBy>
  <dcterms:created xsi:type="dcterms:W3CDTF">2018-02-13T19:44:38Z</dcterms:created>
  <dcterms:modified xsi:type="dcterms:W3CDTF">2019-10-30T13:55:51Z</dcterms:modified>
</cp:coreProperties>
</file>